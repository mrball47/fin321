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basen/Downloads/"/>
    </mc:Choice>
  </mc:AlternateContent>
  <xr:revisionPtr revIDLastSave="0" documentId="13_ncr:1_{7AE11401-884F-D843-A12F-632805FC5A34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Foreign Receivable Hedging" sheetId="1" r:id="rId1"/>
    <sheet name="Notes &amp; Assumptions" sheetId="2" r:id="rId2"/>
  </sheets>
  <definedNames>
    <definedName name="call_price">#REF!</definedName>
    <definedName name="call_strike">#REF!</definedName>
    <definedName name="contract_notional_value_payable">#REF!</definedName>
    <definedName name="current_spot_price_payable">#REF!</definedName>
    <definedName name="for_GBPUSD">'Foreign Receivable Hedging'!$F$11</definedName>
    <definedName name="forward_price_payable">#REF!</definedName>
    <definedName name="future_spot_price_payable">#REF!</definedName>
    <definedName name="fv_put_outlay">'Foreign Receivable Hedging'!$F$27</definedName>
    <definedName name="gbpusd_1y_scenario">'Foreign Receivable Hedging'!$C$32:$C$44</definedName>
    <definedName name="hedge_no">'Foreign Receivable Hedging'!$D$32:$D$44</definedName>
    <definedName name="named_range">#REF!</definedName>
    <definedName name="put_price">'Foreign Receivable Hedging'!$F$14</definedName>
    <definedName name="rate_uk_1y_payable">#REF!</definedName>
    <definedName name="rate_us_1y_payable">#REF!</definedName>
    <definedName name="recievable">'Foreign Receivable Hedging'!$F$5</definedName>
    <definedName name="x_put">'Foreign Receivable Hedging'!$F$13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20" i="1"/>
  <c r="F21" i="1" s="1"/>
  <c r="F26" i="1"/>
  <c r="F27" i="1" s="1"/>
  <c r="G26" i="1"/>
  <c r="C39" i="1"/>
  <c r="H39" i="1" s="1"/>
  <c r="H38" i="1"/>
  <c r="D38" i="1"/>
  <c r="E38" i="1" s="1"/>
  <c r="C37" i="1"/>
  <c r="C36" i="1" s="1"/>
  <c r="F22" i="1" l="1"/>
  <c r="F23" i="1" s="1"/>
  <c r="F32" i="1" s="1"/>
  <c r="D37" i="1"/>
  <c r="E37" i="1" s="1"/>
  <c r="J38" i="1"/>
  <c r="G38" i="1" s="1"/>
  <c r="J37" i="1"/>
  <c r="G37" i="1" s="1"/>
  <c r="J39" i="1"/>
  <c r="J36" i="1"/>
  <c r="J40" i="1"/>
  <c r="H36" i="1"/>
  <c r="D36" i="1"/>
  <c r="C35" i="1"/>
  <c r="D39" i="1"/>
  <c r="H37" i="1"/>
  <c r="C40" i="1"/>
  <c r="F35" i="1" l="1"/>
  <c r="I36" i="1"/>
  <c r="F39" i="1"/>
  <c r="F40" i="1"/>
  <c r="F38" i="1"/>
  <c r="K38" i="1" s="1"/>
  <c r="F36" i="1"/>
  <c r="F34" i="1"/>
  <c r="I38" i="1"/>
  <c r="F44" i="1"/>
  <c r="F42" i="1"/>
  <c r="F41" i="1"/>
  <c r="F33" i="1"/>
  <c r="I37" i="1"/>
  <c r="F43" i="1"/>
  <c r="F37" i="1"/>
  <c r="K37" i="1" s="1"/>
  <c r="I39" i="1"/>
  <c r="H35" i="1"/>
  <c r="C34" i="1"/>
  <c r="D35" i="1"/>
  <c r="E36" i="1"/>
  <c r="G36" i="1"/>
  <c r="C41" i="1"/>
  <c r="D40" i="1"/>
  <c r="H40" i="1"/>
  <c r="G39" i="1"/>
  <c r="E39" i="1"/>
  <c r="J35" i="1"/>
  <c r="L37" i="1" l="1"/>
  <c r="L38" i="1"/>
  <c r="G35" i="1"/>
  <c r="E35" i="1"/>
  <c r="I35" i="1"/>
  <c r="L36" i="1"/>
  <c r="K36" i="1"/>
  <c r="G40" i="1"/>
  <c r="E40" i="1"/>
  <c r="I40" i="1"/>
  <c r="D34" i="1"/>
  <c r="C33" i="1"/>
  <c r="H34" i="1"/>
  <c r="J34" i="1"/>
  <c r="L39" i="1"/>
  <c r="K39" i="1"/>
  <c r="D41" i="1"/>
  <c r="C42" i="1"/>
  <c r="H41" i="1"/>
  <c r="J41" i="1"/>
  <c r="G34" i="1" l="1"/>
  <c r="E34" i="1"/>
  <c r="I34" i="1"/>
  <c r="H42" i="1"/>
  <c r="D42" i="1"/>
  <c r="C43" i="1"/>
  <c r="J42" i="1"/>
  <c r="L40" i="1"/>
  <c r="K40" i="1"/>
  <c r="E41" i="1"/>
  <c r="G41" i="1"/>
  <c r="I41" i="1"/>
  <c r="L35" i="1"/>
  <c r="K35" i="1"/>
  <c r="D33" i="1"/>
  <c r="C32" i="1"/>
  <c r="H33" i="1"/>
  <c r="J33" i="1"/>
  <c r="H32" i="1" l="1"/>
  <c r="D32" i="1"/>
  <c r="J32" i="1"/>
  <c r="L34" i="1"/>
  <c r="K34" i="1"/>
  <c r="G42" i="1"/>
  <c r="E42" i="1"/>
  <c r="I42" i="1"/>
  <c r="E33" i="1"/>
  <c r="G33" i="1"/>
  <c r="I33" i="1"/>
  <c r="L41" i="1"/>
  <c r="K41" i="1"/>
  <c r="H43" i="1"/>
  <c r="C44" i="1"/>
  <c r="D43" i="1"/>
  <c r="J43" i="1"/>
  <c r="K42" i="1" l="1"/>
  <c r="L42" i="1"/>
  <c r="G43" i="1"/>
  <c r="E43" i="1"/>
  <c r="I43" i="1"/>
  <c r="H44" i="1"/>
  <c r="D44" i="1"/>
  <c r="J44" i="1"/>
  <c r="K33" i="1"/>
  <c r="L33" i="1"/>
  <c r="G32" i="1"/>
  <c r="E32" i="1"/>
  <c r="I32" i="1"/>
  <c r="L32" i="1" l="1"/>
  <c r="K32" i="1"/>
  <c r="G44" i="1"/>
  <c r="F28" i="1" s="1"/>
  <c r="E44" i="1"/>
  <c r="I44" i="1"/>
  <c r="L43" i="1"/>
  <c r="K43" i="1"/>
  <c r="L44" i="1" l="1"/>
  <c r="K44" i="1"/>
</calcChain>
</file>

<file path=xl/sharedStrings.xml><?xml version="1.0" encoding="utf-8"?>
<sst xmlns="http://schemas.openxmlformats.org/spreadsheetml/2006/main" count="61" uniqueCount="53">
  <si>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</si>
  <si>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Given</t>
  </si>
  <si>
    <t xml:space="preserve">Variables </t>
  </si>
  <si>
    <t>Key</t>
  </si>
  <si>
    <t>1-Year Receivable</t>
  </si>
  <si>
    <t>Editable</t>
  </si>
  <si>
    <t>Outcome</t>
  </si>
  <si>
    <t>Money Market</t>
  </si>
  <si>
    <t>Formulas</t>
  </si>
  <si>
    <t>U.S. 1-Year Interest Rate (domestic)</t>
  </si>
  <si>
    <t>Forwards</t>
  </si>
  <si>
    <t>Options</t>
  </si>
  <si>
    <t>1. Forward Hedge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</si>
  <si>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</si>
  <si>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</si>
  <si>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</si>
  <si>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</si>
  <si>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</si>
  <si>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</si>
  <si>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</si>
  <si>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</si>
  <si>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</si>
  <si>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</si>
  <si>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</si>
  <si>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</si>
  <si>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</si>
  <si>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</si>
  <si>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</si>
  <si>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</si>
  <si>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Current EUR/USD Spot Exchange Rate</t>
  </si>
  <si>
    <t>E.U. 1-Year Interest Rate (foreign)</t>
  </si>
  <si>
    <t>EUR/USD 1-Year Forward Exchange Rate</t>
  </si>
  <si>
    <t>EUR/USD Put Strike Price</t>
  </si>
  <si>
    <t>EUR/USD Put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</si>
  <si>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EUR/USD 1-Year Forward</t>
    </r>
  </si>
  <si>
    <t>&lt;-- Worse (EUR depreciates)</t>
  </si>
  <si>
    <t>&lt;-- Better (EUR appreciates)</t>
  </si>
  <si>
    <t>&lt;-- LOWEST: variable amount depends on where EUR/USD spot ends up in 1 year</t>
  </si>
  <si>
    <t>EUR/USD
Spot Exchange Rate
(scenarios in 1 year)</t>
  </si>
  <si>
    <t>&lt;-- Baseline</t>
  </si>
  <si>
    <t>E.U. 1-Year Interest Rate (domestic)</t>
  </si>
  <si>
    <t>Quotes (4/17/26, 5:00 pm EST)</t>
  </si>
  <si>
    <t>EURIBOR</t>
  </si>
  <si>
    <t>Bloomberg</t>
  </si>
  <si>
    <t>SOFR</t>
  </si>
  <si>
    <t>Notes &amp; Assumptions</t>
  </si>
  <si>
    <t>1. The model assumes zero broker fees, bank commissions, or execution costs.</t>
  </si>
  <si>
    <t>2. The model assumes the firm can transact exactly at the quoted spot (1.1781) and forward (1.0935) rates with no bid-ask spread.</t>
  </si>
  <si>
    <t>3. The model applies a single foreign interest rate (3.691%) and domestic interest rate (3.670%) with no spread.</t>
  </si>
  <si>
    <t>5. The model calculates gross cash flows and ignores any tax implications regarding foreign exchange gains/losses, interest expenses on the Euro loan, or interest income on the USD deposit.</t>
  </si>
  <si>
    <t>Covered Interest Rate Parity</t>
  </si>
  <si>
    <t>The model assumes the 1-Year Forward Rate 0f 1.0935 is a fixed market quote. However, based on the spot rate (1.1770) and the narrow interest rate differential (3.670% U.S. vs. 3.691% E.U.), this forward rate violates Covered Interest Rate Parity and creates an arbitrage opportunity favoring the Money Market Hedge.</t>
  </si>
  <si>
    <t>4. The Money Market hedge assumes the firm has immediate, unrestricted access to a €16.37M line of credit at the stated interest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</si>
</sst>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[$£]#,##0"/>
    <numFmt numFmtId="165" formatCode="&quot;$&quot;#,##0.00"/>
    <numFmt numFmtId="166" formatCode="&quot;$&quot;#,##0"/>
    <numFmt numFmtId="168" formatCode="_(&quot;$&quot;* #,##0_);_(&quot;$&quot;* \(#,##0\);_(&quot;$&quot;* &quot;-&quot;??_);_(@_)"/>
    <numFmt numFmtId="171" formatCode="&quot;$&quot;#,##0.0000"/>
    <numFmt numFmtId="172" formatCode="0.000%"/>
    <numFmt numFmtId="174" formatCode="_([$€-2]\ * #,##0.00_);_([$€-2]\ * \(#,##0.00\);_([$€-2]\ * &quot;-&quot;??_);_(@_)"/>
  </numFmts>
  <fonts count="17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8"/>
      <color theme="1"/>
      <name val="Arial (Body)"/>
    </font>
    <font>
      <u/>
      <sz val="10"/>
      <color theme="10"/>
      <name val="Arial"/>
      <family val="2"/>
      <scheme val="minor"/>
    </font>
    <font>
      <u/>
      <sz val="18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 style="thick">
        <color rgb="FF000000"/>
      </right>
      <top style="thin">
        <color rgb="FFFFFFFF"/>
      </top>
      <bottom style="thick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1" fillId="0" borderId="18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8" fontId="6" fillId="4" borderId="25" xfId="1" applyNumberFormat="1" applyFont="1" applyFill="1" applyBorder="1" applyAlignment="1">
      <alignment horizontal="right" vertical="top"/>
    </xf>
    <xf numFmtId="166" fontId="8" fillId="6" borderId="59" xfId="0" applyNumberFormat="1" applyFont="1" applyFill="1" applyBorder="1" applyAlignment="1">
      <alignment vertical="top"/>
    </xf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7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 wrapText="1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  <xf numFmtId="171" fontId="1" fillId="3" borderId="11" xfId="0" applyNumberFormat="1" applyFont="1" applyFill="1" applyBorder="1" applyAlignment="1">
      <alignment vertical="top"/>
    </xf>
    <xf numFmtId="172" fontId="1" fillId="3" borderId="11" xfId="0" applyNumberFormat="1" applyFont="1" applyFill="1" applyBorder="1" applyAlignment="1">
      <alignment vertical="top"/>
    </xf>
    <xf numFmtId="174" fontId="1" fillId="3" borderId="11" xfId="1" applyNumberFormat="1" applyFont="1" applyFill="1" applyBorder="1" applyAlignment="1">
      <alignment horizontal="left" vertical="top"/>
    </xf>
    <xf numFmtId="174" fontId="8" fillId="0" borderId="1" xfId="1" applyNumberFormat="1" applyFont="1" applyBorder="1" applyAlignment="1">
      <alignment vertical="top"/>
    </xf>
    <xf numFmtId="44" fontId="6" fillId="4" borderId="25" xfId="1" applyNumberFormat="1" applyFont="1" applyFill="1" applyBorder="1" applyAlignment="1">
      <alignment vertical="top"/>
    </xf>
    <xf numFmtId="0" fontId="12" fillId="0" borderId="0" xfId="0" applyFont="1"/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172" fontId="13" fillId="0" borderId="64" xfId="0" applyNumberFormat="1" applyFont="1" applyFill="1" applyBorder="1" applyAlignment="1">
      <alignment vertical="top"/>
    </xf>
    <xf numFmtId="0" fontId="14" fillId="2" borderId="6" xfId="0" applyFont="1" applyFill="1" applyBorder="1" applyAlignment="1">
      <alignment horizontal="center" vertical="top"/>
    </xf>
    <xf numFmtId="0" fontId="1" fillId="0" borderId="6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61" xfId="0" applyFont="1" applyBorder="1" applyAlignment="1">
      <alignment horizontal="left" vertical="top"/>
    </xf>
    <xf numFmtId="0" fontId="1" fillId="0" borderId="62" xfId="0" applyFont="1" applyBorder="1" applyAlignment="1">
      <alignment horizontal="left" vertical="top"/>
    </xf>
    <xf numFmtId="0" fontId="1" fillId="0" borderId="63" xfId="0" applyFont="1" applyBorder="1" applyAlignment="1">
      <alignment horizontal="left" vertical="top"/>
    </xf>
    <xf numFmtId="174" fontId="16" fillId="3" borderId="11" xfId="2" applyNumberFormat="1" applyFont="1" applyFill="1" applyBorder="1" applyAlignment="1">
      <alignment horizontal="left" vertical="top" indent="2"/>
    </xf>
    <xf numFmtId="171" fontId="16" fillId="3" borderId="11" xfId="2" applyNumberFormat="1" applyFont="1" applyFill="1" applyBorder="1" applyAlignment="1">
      <alignment horizontal="center" vertical="top"/>
    </xf>
    <xf numFmtId="0" fontId="13" fillId="0" borderId="0" xfId="0" applyFont="1" applyBorder="1" applyAlignment="1">
      <alignment vertical="top"/>
    </xf>
    <xf numFmtId="0" fontId="1" fillId="0" borderId="6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65" xfId="0" applyFont="1" applyFill="1" applyBorder="1" applyAlignment="1">
      <alignment horizontal="left" vertical="top" wrapText="1"/>
    </xf>
    <xf numFmtId="0" fontId="1" fillId="0" borderId="61" xfId="0" applyFont="1" applyFill="1" applyBorder="1" applyAlignment="1">
      <alignment horizontal="left" vertical="top" wrapText="1"/>
    </xf>
    <xf numFmtId="0" fontId="1" fillId="0" borderId="62" xfId="0" applyFont="1" applyFill="1" applyBorder="1" applyAlignment="1">
      <alignment horizontal="left" vertical="top" wrapText="1"/>
    </xf>
    <xf numFmtId="0" fontId="1" fillId="0" borderId="66" xfId="0" applyFont="1" applyFill="1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SOFR" TargetMode="External"/><Relationship Id="rId2" Type="http://schemas.openxmlformats.org/officeDocument/2006/relationships/hyperlink" Target="https://www.bloomberg.com/quote/EURUSD:CUR" TargetMode="External"/><Relationship Id="rId1" Type="http://schemas.openxmlformats.org/officeDocument/2006/relationships/hyperlink" Target="https://www.euribor-rates.eu/en/current-euribor-rates/4/euribor-rate-12-mont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3"/>
  <sheetViews>
    <sheetView tabSelected="1" zoomScale="36" workbookViewId="0">
      <selection activeCell="G13" sqref="G13"/>
    </sheetView>
  </sheetViews>
  <sheetFormatPr baseColWidth="10" defaultColWidth="12.6640625" defaultRowHeight="15.75" customHeight="1" x14ac:dyDescent="0.15"/>
  <cols>
    <col min="1" max="1" width="6.33203125" customWidth="1"/>
    <col min="2" max="2" width="7.5" bestFit="1" customWidth="1"/>
    <col min="3" max="3" width="76.83203125" customWidth="1"/>
    <col min="4" max="4" width="32.83203125" customWidth="1"/>
    <col min="5" max="5" width="28.83203125" bestFit="1" customWidth="1"/>
    <col min="6" max="6" width="38.1640625" bestFit="1" customWidth="1"/>
    <col min="7" max="7" width="40.33203125" customWidth="1"/>
    <col min="8" max="8" width="67.33203125" bestFit="1" customWidth="1"/>
    <col min="9" max="9" width="38.1640625" bestFit="1" customWidth="1"/>
    <col min="10" max="10" width="25.5" customWidth="1"/>
    <col min="11" max="12" width="37.1640625" bestFit="1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5"/>
      <c r="D3" s="5"/>
      <c r="E3" s="5"/>
      <c r="F3" s="5"/>
      <c r="G3" s="2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4" thickTop="1" x14ac:dyDescent="0.25">
      <c r="A4" s="1"/>
      <c r="B4" s="4"/>
      <c r="C4" s="99" t="s">
        <v>1</v>
      </c>
      <c r="D4" s="100"/>
      <c r="E4" s="100"/>
      <c r="F4" s="6" t="s">
        <v>2</v>
      </c>
      <c r="G4" s="7"/>
      <c r="H4" s="8" t="s">
        <v>3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0" t="s">
        <v>4</v>
      </c>
      <c r="D5" s="11"/>
      <c r="E5" s="11"/>
      <c r="F5" s="110">
        <v>16999575.010000002</v>
      </c>
      <c r="G5" s="12"/>
      <c r="H5" s="13" t="s">
        <v>5</v>
      </c>
      <c r="I5" s="1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29</v>
      </c>
      <c r="D6" s="15"/>
      <c r="E6" s="15"/>
      <c r="F6" s="108">
        <v>1.1765000000000001</v>
      </c>
      <c r="G6" s="16"/>
      <c r="H6" s="17" t="s">
        <v>6</v>
      </c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4" thickBot="1" x14ac:dyDescent="0.2">
      <c r="A7" s="1"/>
      <c r="B7" s="4"/>
      <c r="C7" s="18" t="s">
        <v>7</v>
      </c>
      <c r="D7" s="19"/>
      <c r="E7" s="19"/>
      <c r="F7" s="20"/>
      <c r="G7" s="9"/>
      <c r="H7" s="21" t="s">
        <v>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10" t="s">
        <v>9</v>
      </c>
      <c r="D8" s="19"/>
      <c r="E8" s="19"/>
      <c r="F8" s="109">
        <v>3.6700000000000003E-2</v>
      </c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30</v>
      </c>
      <c r="D9" s="19"/>
      <c r="E9" s="19"/>
      <c r="F9" s="109">
        <v>3.6909999999999998E-2</v>
      </c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8" t="s">
        <v>10</v>
      </c>
      <c r="D10" s="15"/>
      <c r="E10" s="15"/>
      <c r="F10" s="23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10" t="s">
        <v>31</v>
      </c>
      <c r="D11" s="15"/>
      <c r="E11" s="15"/>
      <c r="F11" s="108">
        <v>1.0934999999999999</v>
      </c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8" t="s">
        <v>11</v>
      </c>
      <c r="D12" s="2"/>
      <c r="E12" s="2"/>
      <c r="F12" s="24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25">
      <c r="A13" s="1"/>
      <c r="B13" s="4"/>
      <c r="C13" s="25" t="s">
        <v>32</v>
      </c>
      <c r="D13" s="26"/>
      <c r="E13" s="26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33</v>
      </c>
      <c r="D14" s="29"/>
      <c r="E14" s="29"/>
      <c r="F14" s="30"/>
      <c r="G14" s="9"/>
      <c r="H14" s="31"/>
      <c r="I14" s="2"/>
      <c r="J14" s="31"/>
      <c r="K14" s="31"/>
      <c r="L14" s="31"/>
      <c r="M14" s="3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2"/>
      <c r="C15" s="32"/>
      <c r="D15" s="32"/>
      <c r="E15" s="32"/>
      <c r="F15" s="32"/>
      <c r="G15" s="33"/>
      <c r="H15" s="33"/>
      <c r="I15" s="5"/>
      <c r="J15" s="34"/>
      <c r="K15" s="3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4"/>
      <c r="C16" s="101" t="s">
        <v>12</v>
      </c>
      <c r="D16" s="92"/>
      <c r="E16" s="92"/>
      <c r="F16" s="92"/>
      <c r="G16" s="92"/>
      <c r="H16" s="92"/>
      <c r="I16" s="92"/>
      <c r="J16" s="93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15">
      <c r="A17" s="1"/>
      <c r="B17" s="4"/>
      <c r="C17" s="102" t="s">
        <v>34</v>
      </c>
      <c r="D17" s="89"/>
      <c r="E17" s="103"/>
      <c r="F17" s="112">
        <f>F5*for_GBPUSD</f>
        <v>18589035.273435</v>
      </c>
      <c r="G17" s="88" t="s">
        <v>13</v>
      </c>
      <c r="H17" s="89"/>
      <c r="I17" s="89"/>
      <c r="J17" s="90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2"/>
      <c r="C18" s="32"/>
      <c r="D18" s="32"/>
      <c r="E18" s="32"/>
      <c r="F18" s="32"/>
      <c r="G18" s="35"/>
      <c r="H18" s="32"/>
      <c r="I18" s="32"/>
      <c r="J18" s="3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4"/>
      <c r="C19" s="91" t="s">
        <v>14</v>
      </c>
      <c r="D19" s="92"/>
      <c r="E19" s="92"/>
      <c r="F19" s="92"/>
      <c r="G19" s="92"/>
      <c r="H19" s="92"/>
      <c r="I19" s="92"/>
      <c r="J19" s="93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94" t="s">
        <v>15</v>
      </c>
      <c r="D20" s="86"/>
      <c r="E20" s="95"/>
      <c r="F20" s="111">
        <f>F5/(1+F9)</f>
        <v>16394455.651888786</v>
      </c>
      <c r="G20" s="85"/>
      <c r="H20" s="86"/>
      <c r="I20" s="86"/>
      <c r="J20" s="87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94" t="s">
        <v>16</v>
      </c>
      <c r="D21" s="86"/>
      <c r="E21" s="95"/>
      <c r="F21" s="36">
        <f>F20*F6</f>
        <v>19288077.074447159</v>
      </c>
      <c r="G21" s="85"/>
      <c r="H21" s="86"/>
      <c r="I21" s="86"/>
      <c r="J21" s="87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94" t="s">
        <v>17</v>
      </c>
      <c r="D22" s="86"/>
      <c r="E22" s="95"/>
      <c r="F22" s="36">
        <f>F21*(1+F8)</f>
        <v>19995949.50307937</v>
      </c>
      <c r="G22" s="85"/>
      <c r="H22" s="86"/>
      <c r="I22" s="86"/>
      <c r="J22" s="87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37"/>
      <c r="D23" s="38"/>
      <c r="E23" s="38"/>
      <c r="F23" s="112">
        <f>F22</f>
        <v>19995949.50307937</v>
      </c>
      <c r="G23" s="88" t="s">
        <v>13</v>
      </c>
      <c r="H23" s="89"/>
      <c r="I23" s="89"/>
      <c r="J23" s="9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2"/>
      <c r="C24" s="32"/>
      <c r="D24" s="32"/>
      <c r="E24" s="32"/>
      <c r="F24" s="32"/>
      <c r="G24" s="35"/>
      <c r="H24" s="32"/>
      <c r="I24" s="32"/>
      <c r="J24" s="3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91" t="s">
        <v>18</v>
      </c>
      <c r="D25" s="92"/>
      <c r="E25" s="92"/>
      <c r="F25" s="92"/>
      <c r="G25" s="92"/>
      <c r="H25" s="92"/>
      <c r="I25" s="92"/>
      <c r="J25" s="93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25">
      <c r="A26" s="1"/>
      <c r="B26" s="4"/>
      <c r="C26" s="94" t="s">
        <v>19</v>
      </c>
      <c r="D26" s="86"/>
      <c r="E26" s="95"/>
      <c r="F26" s="36">
        <f>-put_price*recievable</f>
        <v>0</v>
      </c>
      <c r="G26" s="31" t="e">
        <f ca="1">_xludf.FORMULATEXT(F26)</f>
        <v>#NAME?</v>
      </c>
      <c r="H26" s="2"/>
      <c r="I26" s="2"/>
      <c r="J26" s="3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94" t="s">
        <v>20</v>
      </c>
      <c r="D27" s="86"/>
      <c r="E27" s="95"/>
      <c r="F27" s="36">
        <f>F26*(1+F8)</f>
        <v>0</v>
      </c>
      <c r="G27" s="31"/>
      <c r="H27" s="2"/>
      <c r="I27" s="2"/>
      <c r="J27" s="3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37"/>
      <c r="D28" s="40"/>
      <c r="E28" s="40"/>
      <c r="F28" s="81">
        <f>MIN(G32:G44)</f>
        <v>19039524.0112</v>
      </c>
      <c r="G28" s="88" t="s">
        <v>37</v>
      </c>
      <c r="H28" s="89"/>
      <c r="I28" s="89"/>
      <c r="J28" s="90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15">
      <c r="A29" s="1"/>
      <c r="B29" s="2"/>
      <c r="C29" s="41"/>
      <c r="D29" s="32"/>
      <c r="E29" s="32"/>
      <c r="F29" s="32"/>
      <c r="G29" s="35"/>
      <c r="H29" s="41"/>
      <c r="I29" s="41"/>
      <c r="J29" s="4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4"/>
      <c r="C30" s="104" t="s">
        <v>38</v>
      </c>
      <c r="D30" s="83" t="s">
        <v>21</v>
      </c>
      <c r="E30" s="106"/>
      <c r="F30" s="106"/>
      <c r="G30" s="84"/>
      <c r="H30" s="107" t="s">
        <v>22</v>
      </c>
      <c r="I30" s="106"/>
      <c r="J30" s="84"/>
      <c r="K30" s="83" t="s">
        <v>23</v>
      </c>
      <c r="L30" s="84"/>
      <c r="M30" s="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05"/>
      <c r="D31" s="42" t="s">
        <v>24</v>
      </c>
      <c r="E31" s="43" t="s">
        <v>12</v>
      </c>
      <c r="F31" s="44" t="s">
        <v>14</v>
      </c>
      <c r="G31" s="45" t="s">
        <v>18</v>
      </c>
      <c r="H31" s="46" t="s">
        <v>25</v>
      </c>
      <c r="I31" s="47" t="s">
        <v>14</v>
      </c>
      <c r="J31" s="48" t="s">
        <v>18</v>
      </c>
      <c r="K31" s="42" t="s">
        <v>26</v>
      </c>
      <c r="L31" s="49" t="s">
        <v>27</v>
      </c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25">
      <c r="A32" s="50"/>
      <c r="B32" s="96" t="s">
        <v>28</v>
      </c>
      <c r="C32" s="51">
        <f t="shared" ref="C32:C37" si="0">C33-0.01</f>
        <v>1.1199999999999999</v>
      </c>
      <c r="D32" s="52">
        <f t="shared" ref="D32:D44" si="1">C32*$F$5</f>
        <v>19039524.0112</v>
      </c>
      <c r="E32" s="53">
        <f t="shared" ref="E32:E44" si="2">$D32+($F$11-C32)*$F$5</f>
        <v>18589035.273435</v>
      </c>
      <c r="F32" s="54">
        <f t="shared" ref="F32:F44" si="3">$F$23</f>
        <v>19995949.50307937</v>
      </c>
      <c r="G32" s="55">
        <f>hedge_no+J32</f>
        <v>19039524.0112</v>
      </c>
      <c r="H32" s="56">
        <f t="shared" ref="H32:H44" si="4">($F$11-C32)*$F$5</f>
        <v>-450488.7377649995</v>
      </c>
      <c r="I32" s="57">
        <f t="shared" ref="I32:I44" si="5">$F$23-D32</f>
        <v>956425.49187937006</v>
      </c>
      <c r="J32" s="58">
        <f t="shared" ref="J32:J44" si="6">fv_put_outlay+MAX(0,(x_put-gbpusd_1y_scenario)*recievable)</f>
        <v>0</v>
      </c>
      <c r="K32" s="59" t="str">
        <f t="shared" ref="K32:K44" si="7">IF(E32= MAX(D32,E32,F32,G32),$E$31,IF(F32= MAX(D32,E32,F32,G32),$F$31,IF(G32= MAX(D32,E32,F32,G32),$G$31,$D$31)))</f>
        <v>2. Money Market Hedge</v>
      </c>
      <c r="L32" s="60" t="str">
        <f t="shared" ref="L32:L44" si="8">IF(E32= MAX(E32,F32,G32),$E$31,IF(F32= MAX(E32,F32,G32),$F$31,$G$31))</f>
        <v>2. Money Market Hedge</v>
      </c>
      <c r="M32" s="9" t="s">
        <v>35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5" customHeight="1" x14ac:dyDescent="0.25">
      <c r="A33" s="50"/>
      <c r="B33" s="97"/>
      <c r="C33" s="61">
        <f t="shared" si="0"/>
        <v>1.1299999999999999</v>
      </c>
      <c r="D33" s="62">
        <f t="shared" si="1"/>
        <v>19209519.761300001</v>
      </c>
      <c r="E33" s="63">
        <f t="shared" si="2"/>
        <v>18589035.273435</v>
      </c>
      <c r="F33" s="64">
        <f t="shared" si="3"/>
        <v>19995949.50307937</v>
      </c>
      <c r="G33" s="65">
        <f t="shared" ref="G33:G44" si="9">$D33+J33</f>
        <v>19209519.761300001</v>
      </c>
      <c r="H33" s="66">
        <f t="shared" si="4"/>
        <v>-620484.48786499968</v>
      </c>
      <c r="I33" s="67">
        <f t="shared" si="5"/>
        <v>786429.74177936837</v>
      </c>
      <c r="J33" s="58">
        <f t="shared" si="6"/>
        <v>0</v>
      </c>
      <c r="K33" s="68" t="str">
        <f t="shared" si="7"/>
        <v>2. Money Market Hedge</v>
      </c>
      <c r="L33" s="69" t="str">
        <f t="shared" si="8"/>
        <v>2. Money Market Hedge</v>
      </c>
      <c r="M33" s="70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25">
      <c r="A34" s="50"/>
      <c r="B34" s="97"/>
      <c r="C34" s="61">
        <f t="shared" si="0"/>
        <v>1.1399999999999999</v>
      </c>
      <c r="D34" s="62">
        <f t="shared" si="1"/>
        <v>19379515.511399999</v>
      </c>
      <c r="E34" s="63">
        <f t="shared" si="2"/>
        <v>18589035.273435</v>
      </c>
      <c r="F34" s="64">
        <f t="shared" si="3"/>
        <v>19995949.50307937</v>
      </c>
      <c r="G34" s="65">
        <f t="shared" si="9"/>
        <v>19379515.511399999</v>
      </c>
      <c r="H34" s="66">
        <f t="shared" si="4"/>
        <v>-790480.23796499986</v>
      </c>
      <c r="I34" s="67">
        <f t="shared" si="5"/>
        <v>616433.9916793704</v>
      </c>
      <c r="J34" s="58">
        <f t="shared" si="6"/>
        <v>0</v>
      </c>
      <c r="K34" s="68" t="str">
        <f t="shared" si="7"/>
        <v>2. Money Market Hedge</v>
      </c>
      <c r="L34" s="69" t="str">
        <f t="shared" si="8"/>
        <v>2. Money Market Hedge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0"/>
      <c r="B35" s="97"/>
      <c r="C35" s="61">
        <f t="shared" si="0"/>
        <v>1.1499999999999999</v>
      </c>
      <c r="D35" s="62">
        <f t="shared" si="1"/>
        <v>19549511.261500001</v>
      </c>
      <c r="E35" s="63">
        <f t="shared" si="2"/>
        <v>18589035.273435</v>
      </c>
      <c r="F35" s="64">
        <f t="shared" si="3"/>
        <v>19995949.50307937</v>
      </c>
      <c r="G35" s="65">
        <f t="shared" si="9"/>
        <v>19549511.261500001</v>
      </c>
      <c r="H35" s="66">
        <f t="shared" si="4"/>
        <v>-960475.98806500004</v>
      </c>
      <c r="I35" s="67">
        <f t="shared" si="5"/>
        <v>446438.24157936871</v>
      </c>
      <c r="J35" s="58">
        <f t="shared" si="6"/>
        <v>0</v>
      </c>
      <c r="K35" s="68" t="str">
        <f t="shared" si="7"/>
        <v>2. Money Market Hedge</v>
      </c>
      <c r="L35" s="69" t="str">
        <f t="shared" si="8"/>
        <v>2. Money Market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0"/>
      <c r="B36" s="97"/>
      <c r="C36" s="61">
        <f t="shared" si="0"/>
        <v>1.1599999999999999</v>
      </c>
      <c r="D36" s="62">
        <f t="shared" si="1"/>
        <v>19719507.011599999</v>
      </c>
      <c r="E36" s="63">
        <f t="shared" si="2"/>
        <v>18589035.273435</v>
      </c>
      <c r="F36" s="64">
        <f t="shared" si="3"/>
        <v>19995949.50307937</v>
      </c>
      <c r="G36" s="65">
        <f t="shared" si="9"/>
        <v>19719507.011599999</v>
      </c>
      <c r="H36" s="66">
        <f t="shared" si="4"/>
        <v>-1130471.7381650002</v>
      </c>
      <c r="I36" s="67">
        <f t="shared" si="5"/>
        <v>276442.49147937074</v>
      </c>
      <c r="J36" s="58">
        <f t="shared" si="6"/>
        <v>0</v>
      </c>
      <c r="K36" s="68" t="str">
        <f t="shared" si="7"/>
        <v>2. Money Market Hedge</v>
      </c>
      <c r="L36" s="69" t="str">
        <f t="shared" si="8"/>
        <v>2. Money Market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0"/>
      <c r="B37" s="97"/>
      <c r="C37" s="61">
        <f t="shared" si="0"/>
        <v>1.17</v>
      </c>
      <c r="D37" s="62">
        <f t="shared" si="1"/>
        <v>19889502.761700001</v>
      </c>
      <c r="E37" s="63">
        <f t="shared" si="2"/>
        <v>18589035.273435</v>
      </c>
      <c r="F37" s="64">
        <f t="shared" si="3"/>
        <v>19995949.50307937</v>
      </c>
      <c r="G37" s="65">
        <f t="shared" si="9"/>
        <v>19889502.761700001</v>
      </c>
      <c r="H37" s="66">
        <f t="shared" si="4"/>
        <v>-1300467.4882650003</v>
      </c>
      <c r="I37" s="67">
        <f t="shared" si="5"/>
        <v>106446.74137936905</v>
      </c>
      <c r="J37" s="58">
        <f t="shared" si="6"/>
        <v>0</v>
      </c>
      <c r="K37" s="68" t="str">
        <f t="shared" si="7"/>
        <v>2. Money Market Hedge</v>
      </c>
      <c r="L37" s="69" t="str">
        <f t="shared" si="8"/>
        <v>2. Money Market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4" thickBot="1" x14ac:dyDescent="0.3">
      <c r="A38" s="50"/>
      <c r="B38" s="97"/>
      <c r="C38" s="61">
        <v>1.18</v>
      </c>
      <c r="D38" s="62">
        <f t="shared" si="1"/>
        <v>20059498.511800002</v>
      </c>
      <c r="E38" s="63">
        <f t="shared" si="2"/>
        <v>18589035.273435</v>
      </c>
      <c r="F38" s="64">
        <f t="shared" si="3"/>
        <v>19995949.50307937</v>
      </c>
      <c r="G38" s="65">
        <f t="shared" si="9"/>
        <v>20059498.511800002</v>
      </c>
      <c r="H38" s="66">
        <f t="shared" si="4"/>
        <v>-1470463.2383650006</v>
      </c>
      <c r="I38" s="67">
        <f t="shared" si="5"/>
        <v>-63549.008720632643</v>
      </c>
      <c r="J38" s="58">
        <f t="shared" si="6"/>
        <v>0</v>
      </c>
      <c r="K38" s="68" t="str">
        <f t="shared" si="7"/>
        <v>3. Option Hedge</v>
      </c>
      <c r="L38" s="69" t="str">
        <f t="shared" si="8"/>
        <v>3. Option Hedge</v>
      </c>
      <c r="M38" s="9" t="s">
        <v>39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4" thickBot="1" x14ac:dyDescent="0.3">
      <c r="A39" s="50"/>
      <c r="B39" s="97"/>
      <c r="C39" s="61">
        <f t="shared" ref="C39:C44" si="10">C38+0.01</f>
        <v>1.19</v>
      </c>
      <c r="D39" s="62">
        <f t="shared" si="1"/>
        <v>20229494.2619</v>
      </c>
      <c r="E39" s="63">
        <f t="shared" si="2"/>
        <v>18589035.273435</v>
      </c>
      <c r="F39" s="64">
        <f t="shared" si="3"/>
        <v>19995949.50307937</v>
      </c>
      <c r="G39" s="65">
        <f t="shared" si="9"/>
        <v>20229494.2619</v>
      </c>
      <c r="H39" s="66">
        <f t="shared" si="4"/>
        <v>-1640458.9884650006</v>
      </c>
      <c r="I39" s="67">
        <f t="shared" si="5"/>
        <v>-233544.75882063061</v>
      </c>
      <c r="J39" s="58">
        <f t="shared" si="6"/>
        <v>0</v>
      </c>
      <c r="K39" s="68" t="str">
        <f t="shared" si="7"/>
        <v>3. Option Hedge</v>
      </c>
      <c r="L39" s="69" t="str">
        <f t="shared" si="8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4" thickBot="1" x14ac:dyDescent="0.3">
      <c r="A40" s="50"/>
      <c r="B40" s="97"/>
      <c r="C40" s="61">
        <f t="shared" si="10"/>
        <v>1.2</v>
      </c>
      <c r="D40" s="62">
        <f t="shared" si="1"/>
        <v>20399490.012000002</v>
      </c>
      <c r="E40" s="63">
        <f t="shared" si="2"/>
        <v>18589035.273435</v>
      </c>
      <c r="F40" s="64">
        <f t="shared" si="3"/>
        <v>19995949.50307937</v>
      </c>
      <c r="G40" s="65">
        <f t="shared" si="9"/>
        <v>20399490.012000002</v>
      </c>
      <c r="H40" s="66">
        <f t="shared" si="4"/>
        <v>-1810454.7385650009</v>
      </c>
      <c r="I40" s="67">
        <f t="shared" si="5"/>
        <v>-403540.5089206323</v>
      </c>
      <c r="J40" s="58">
        <f t="shared" si="6"/>
        <v>0</v>
      </c>
      <c r="K40" s="68" t="str">
        <f t="shared" si="7"/>
        <v>3. Option Hedge</v>
      </c>
      <c r="L40" s="69" t="str">
        <f t="shared" si="8"/>
        <v>3. Option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0"/>
      <c r="B41" s="97"/>
      <c r="C41" s="61">
        <f t="shared" si="10"/>
        <v>1.21</v>
      </c>
      <c r="D41" s="62">
        <f t="shared" si="1"/>
        <v>20569485.7621</v>
      </c>
      <c r="E41" s="63">
        <f t="shared" si="2"/>
        <v>18589035.273435</v>
      </c>
      <c r="F41" s="64">
        <f t="shared" si="3"/>
        <v>19995949.50307937</v>
      </c>
      <c r="G41" s="65">
        <f t="shared" si="9"/>
        <v>20569485.7621</v>
      </c>
      <c r="H41" s="66">
        <f t="shared" si="4"/>
        <v>-1980450.488665001</v>
      </c>
      <c r="I41" s="67">
        <f t="shared" si="5"/>
        <v>-573536.25902063027</v>
      </c>
      <c r="J41" s="58">
        <f t="shared" si="6"/>
        <v>0</v>
      </c>
      <c r="K41" s="68" t="str">
        <f t="shared" si="7"/>
        <v>3. Option Hedge</v>
      </c>
      <c r="L41" s="71" t="str">
        <f t="shared" si="8"/>
        <v>3. Option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0"/>
      <c r="B42" s="97"/>
      <c r="C42" s="61">
        <f t="shared" si="10"/>
        <v>1.22</v>
      </c>
      <c r="D42" s="62">
        <f t="shared" si="1"/>
        <v>20739481.512200002</v>
      </c>
      <c r="E42" s="63">
        <f t="shared" si="2"/>
        <v>18589035.273435</v>
      </c>
      <c r="F42" s="64">
        <f t="shared" si="3"/>
        <v>19995949.50307937</v>
      </c>
      <c r="G42" s="65">
        <f t="shared" si="9"/>
        <v>20739481.512200002</v>
      </c>
      <c r="H42" s="66">
        <f t="shared" si="4"/>
        <v>-2150446.2387650013</v>
      </c>
      <c r="I42" s="67">
        <f t="shared" si="5"/>
        <v>-743532.00912063196</v>
      </c>
      <c r="J42" s="58">
        <f t="shared" si="6"/>
        <v>0</v>
      </c>
      <c r="K42" s="68" t="str">
        <f t="shared" si="7"/>
        <v>3. Option Hedge</v>
      </c>
      <c r="L42" s="71" t="str">
        <f t="shared" si="8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4" thickBot="1" x14ac:dyDescent="0.3">
      <c r="A43" s="50"/>
      <c r="B43" s="97"/>
      <c r="C43" s="61">
        <f t="shared" si="10"/>
        <v>1.23</v>
      </c>
      <c r="D43" s="62">
        <f t="shared" si="1"/>
        <v>20909477.262300003</v>
      </c>
      <c r="E43" s="63">
        <f t="shared" si="2"/>
        <v>18589035.273435004</v>
      </c>
      <c r="F43" s="64">
        <f t="shared" si="3"/>
        <v>19995949.50307937</v>
      </c>
      <c r="G43" s="65">
        <f t="shared" si="9"/>
        <v>20909477.262300003</v>
      </c>
      <c r="H43" s="66">
        <f t="shared" si="4"/>
        <v>-2320441.9888650011</v>
      </c>
      <c r="I43" s="67">
        <f t="shared" si="5"/>
        <v>-913527.75922063366</v>
      </c>
      <c r="J43" s="58">
        <f t="shared" si="6"/>
        <v>0</v>
      </c>
      <c r="K43" s="68" t="str">
        <f t="shared" si="7"/>
        <v>3. Option Hedge</v>
      </c>
      <c r="L43" s="71" t="str">
        <f t="shared" si="8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4" thickBot="1" x14ac:dyDescent="0.3">
      <c r="A44" s="50"/>
      <c r="B44" s="98"/>
      <c r="C44" s="72">
        <f t="shared" si="10"/>
        <v>1.24</v>
      </c>
      <c r="D44" s="73">
        <f t="shared" si="1"/>
        <v>21079473.012400001</v>
      </c>
      <c r="E44" s="74">
        <f t="shared" si="2"/>
        <v>18589035.273435</v>
      </c>
      <c r="F44" s="75">
        <f t="shared" si="3"/>
        <v>19995949.50307937</v>
      </c>
      <c r="G44" s="76">
        <f t="shared" si="9"/>
        <v>21079473.012400001</v>
      </c>
      <c r="H44" s="77">
        <f t="shared" si="4"/>
        <v>-2490437.7389650014</v>
      </c>
      <c r="I44" s="78">
        <f t="shared" si="5"/>
        <v>-1083523.5093206316</v>
      </c>
      <c r="J44" s="82">
        <f t="shared" si="6"/>
        <v>0</v>
      </c>
      <c r="K44" s="79" t="str">
        <f t="shared" si="7"/>
        <v>3. Option Hedge</v>
      </c>
      <c r="L44" s="80" t="str">
        <f t="shared" si="8"/>
        <v>3. Option Hedge</v>
      </c>
      <c r="M44" s="9" t="s">
        <v>36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15">
      <c r="A45" s="1"/>
      <c r="B45" s="2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</sheetData>
  <mergeCells count="21">
    <mergeCell ref="C20:E20"/>
    <mergeCell ref="C21:E21"/>
    <mergeCell ref="C22:E22"/>
    <mergeCell ref="B32:B44"/>
    <mergeCell ref="C4:E4"/>
    <mergeCell ref="C16:J16"/>
    <mergeCell ref="C17:E17"/>
    <mergeCell ref="G17:J17"/>
    <mergeCell ref="C19:J19"/>
    <mergeCell ref="G20:J20"/>
    <mergeCell ref="C30:C31"/>
    <mergeCell ref="D30:G30"/>
    <mergeCell ref="H30:J30"/>
    <mergeCell ref="K30:L30"/>
    <mergeCell ref="G21:J21"/>
    <mergeCell ref="G22:J22"/>
    <mergeCell ref="G23:J23"/>
    <mergeCell ref="C25:J25"/>
    <mergeCell ref="C26:E26"/>
    <mergeCell ref="C27:E27"/>
    <mergeCell ref="G28:J28"/>
  </mergeCells>
  <conditionalFormatting sqref="D32:G44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D7E2-329D-174F-842B-BEC95205FBA8}">
  <dimension ref="A1:E16"/>
  <sheetViews>
    <sheetView zoomScale="75" zoomScaleNormal="59" workbookViewId="0">
      <selection activeCell="E3" sqref="E3"/>
    </sheetView>
  </sheetViews>
  <sheetFormatPr baseColWidth="10" defaultRowHeight="13" x14ac:dyDescent="0.15"/>
  <cols>
    <col min="4" max="4" width="34.6640625" customWidth="1"/>
    <col min="5" max="5" width="22.1640625" customWidth="1"/>
  </cols>
  <sheetData>
    <row r="1" spans="1:5" ht="14" thickBot="1" x14ac:dyDescent="0.2">
      <c r="A1" s="113"/>
    </row>
    <row r="2" spans="1:5" ht="24" thickTop="1" x14ac:dyDescent="0.15">
      <c r="A2" s="113"/>
      <c r="B2" s="117" t="s">
        <v>41</v>
      </c>
      <c r="C2" s="114"/>
      <c r="D2" s="114"/>
      <c r="E2" s="115"/>
    </row>
    <row r="3" spans="1:5" ht="23" x14ac:dyDescent="0.15">
      <c r="B3" s="118" t="s">
        <v>29</v>
      </c>
      <c r="C3" s="119"/>
      <c r="D3" s="120"/>
      <c r="E3" s="124" t="s">
        <v>43</v>
      </c>
    </row>
    <row r="4" spans="1:5" ht="23" x14ac:dyDescent="0.15">
      <c r="B4" s="118" t="s">
        <v>9</v>
      </c>
      <c r="C4" s="119"/>
      <c r="D4" s="120"/>
      <c r="E4" s="125" t="s">
        <v>44</v>
      </c>
    </row>
    <row r="5" spans="1:5" ht="24" thickBot="1" x14ac:dyDescent="0.2">
      <c r="B5" s="121" t="s">
        <v>40</v>
      </c>
      <c r="C5" s="122"/>
      <c r="D5" s="123"/>
      <c r="E5" s="124" t="s">
        <v>42</v>
      </c>
    </row>
    <row r="6" spans="1:5" ht="25" customHeight="1" thickTop="1" thickBot="1" x14ac:dyDescent="0.2">
      <c r="B6" s="126"/>
      <c r="C6" s="126"/>
      <c r="D6" s="126"/>
      <c r="E6" s="116"/>
    </row>
    <row r="7" spans="1:5" ht="24" thickTop="1" x14ac:dyDescent="0.15">
      <c r="B7" s="117" t="s">
        <v>45</v>
      </c>
      <c r="C7" s="114"/>
      <c r="D7" s="114"/>
      <c r="E7" s="115"/>
    </row>
    <row r="8" spans="1:5" ht="60" customHeight="1" x14ac:dyDescent="0.15">
      <c r="B8" s="127" t="s">
        <v>46</v>
      </c>
      <c r="C8" s="128"/>
      <c r="D8" s="128"/>
      <c r="E8" s="129"/>
    </row>
    <row r="9" spans="1:5" ht="80" customHeight="1" x14ac:dyDescent="0.15">
      <c r="B9" s="127" t="s">
        <v>47</v>
      </c>
      <c r="C9" s="128"/>
      <c r="D9" s="128"/>
      <c r="E9" s="129"/>
    </row>
    <row r="10" spans="1:5" ht="80" customHeight="1" x14ac:dyDescent="0.15">
      <c r="B10" s="127" t="s">
        <v>48</v>
      </c>
      <c r="C10" s="128"/>
      <c r="D10" s="128"/>
      <c r="E10" s="129"/>
    </row>
    <row r="11" spans="1:5" ht="80" customHeight="1" x14ac:dyDescent="0.15">
      <c r="B11" s="127" t="s">
        <v>52</v>
      </c>
      <c r="C11" s="128"/>
      <c r="D11" s="128"/>
      <c r="E11" s="129"/>
    </row>
    <row r="12" spans="1:5" ht="114" customHeight="1" thickBot="1" x14ac:dyDescent="0.2">
      <c r="B12" s="130" t="s">
        <v>49</v>
      </c>
      <c r="C12" s="131"/>
      <c r="D12" s="131"/>
      <c r="E12" s="132"/>
    </row>
    <row r="13" spans="1:5" ht="22" customHeight="1" thickTop="1" thickBot="1" x14ac:dyDescent="0.2"/>
    <row r="14" spans="1:5" ht="24" thickTop="1" x14ac:dyDescent="0.15">
      <c r="B14" s="117" t="s">
        <v>50</v>
      </c>
      <c r="C14" s="114"/>
      <c r="D14" s="114"/>
      <c r="E14" s="115"/>
    </row>
    <row r="15" spans="1:5" ht="162" customHeight="1" thickBot="1" x14ac:dyDescent="0.2">
      <c r="B15" s="130" t="s">
        <v>51</v>
      </c>
      <c r="C15" s="131"/>
      <c r="D15" s="131"/>
      <c r="E15" s="132"/>
    </row>
    <row r="16" spans="1:5" ht="14" thickTop="1" x14ac:dyDescent="0.15"/>
  </sheetData>
  <mergeCells count="12">
    <mergeCell ref="B15:E15"/>
    <mergeCell ref="B7:E7"/>
    <mergeCell ref="B8:E8"/>
    <mergeCell ref="B9:E9"/>
    <mergeCell ref="B10:E10"/>
    <mergeCell ref="B11:E11"/>
    <mergeCell ref="B12:E12"/>
    <mergeCell ref="B14:E14"/>
    <mergeCell ref="B3:D3"/>
    <mergeCell ref="B4:D4"/>
    <mergeCell ref="B2:E2"/>
    <mergeCell ref="B5:D5"/>
  </mergeCells>
  <hyperlinks>
    <hyperlink ref="E5" r:id="rId1" xr:uid="{1B09BC63-D088-1248-BBB9-8EEB069BBA59}"/>
    <hyperlink ref="E3" r:id="rId2" xr:uid="{1D900772-3336-9645-B3C0-6331F4633D42}"/>
    <hyperlink ref="E4" r:id="rId3" xr:uid="{E6D6BDE4-2BC5-1148-B40E-633274BA9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Foreign Receivable Hedging</vt:lpstr>
      <vt:lpstr>Notes &amp; Assumptions</vt:lpstr>
      <vt:lpstr>for_GBPUSD</vt:lpstr>
      <vt:lpstr>fv_put_outlay</vt:lpstr>
      <vt:lpstr>gbpusd_1y_scenario</vt:lpstr>
      <vt:lpstr>hedge_no</vt:lpstr>
      <vt:lpstr>put_price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Ballesteros</cp:lastModifiedBy>
  <dcterms:modified xsi:type="dcterms:W3CDTF">2026-04-17T22:00:21Z</dcterms:modified>
</cp:coreProperties>
</file>